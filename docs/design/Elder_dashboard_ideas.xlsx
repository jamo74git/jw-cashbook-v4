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scorpty-my.sharepoint.com/personal/jermainem_goscor_co_za/Documents/Documents/OAC/KasBoek/jw-cashbook-v4/docs/design/"/>
    </mc:Choice>
  </mc:AlternateContent>
  <xr:revisionPtr revIDLastSave="31" documentId="8_{B92DEF30-A178-4046-A2CE-B6824D1042C0}" xr6:coauthVersionLast="47" xr6:coauthVersionMax="47" xr10:uidLastSave="{6374C77E-1FEB-445A-82AE-4E2C1C4B1DF7}"/>
  <bookViews>
    <workbookView xWindow="-120" yWindow="-120" windowWidth="29040" windowHeight="15720" xr2:uid="{96E2BB65-FE70-4926-ACE7-07AFBD5AA23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2" i="1" l="1"/>
  <c r="I52" i="1"/>
  <c r="I51" i="1"/>
  <c r="J35" i="1"/>
  <c r="J51" i="1" s="1"/>
  <c r="F35" i="1"/>
  <c r="G35" i="1"/>
  <c r="K44" i="1"/>
  <c r="K45" i="1"/>
  <c r="K46" i="1"/>
  <c r="K47" i="1"/>
  <c r="K43" i="1"/>
  <c r="H47" i="1"/>
  <c r="H46" i="1"/>
  <c r="H45" i="1"/>
  <c r="H44" i="1"/>
  <c r="H43" i="1"/>
  <c r="H42" i="1"/>
  <c r="K38" i="1"/>
  <c r="I35" i="1"/>
  <c r="K39" i="1"/>
  <c r="H37" i="1"/>
  <c r="H38" i="1"/>
  <c r="H39" i="1"/>
  <c r="H40" i="1"/>
  <c r="H36" i="1"/>
  <c r="J42" i="1"/>
  <c r="I42" i="1"/>
  <c r="K42" i="1" s="1"/>
  <c r="J48" i="1" s="1"/>
  <c r="G42" i="1"/>
  <c r="F42" i="1"/>
  <c r="F52" i="1" s="1"/>
  <c r="K22" i="1"/>
  <c r="J22" i="1"/>
  <c r="I22" i="1"/>
  <c r="H22" i="1"/>
  <c r="G22" i="1"/>
  <c r="F22" i="1"/>
  <c r="K16" i="1"/>
  <c r="J16" i="1"/>
  <c r="I16" i="1"/>
  <c r="H16" i="1"/>
  <c r="G16" i="1"/>
  <c r="F16" i="1"/>
  <c r="K35" i="1" l="1"/>
  <c r="I41" i="1" s="1"/>
  <c r="K51" i="1"/>
  <c r="H52" i="1"/>
  <c r="H35" i="1"/>
  <c r="F41" i="1" s="1"/>
  <c r="G52" i="1"/>
  <c r="G41" i="1"/>
  <c r="H48" i="1"/>
  <c r="I48" i="1"/>
  <c r="K48" i="1"/>
  <c r="F48" i="1"/>
  <c r="G48" i="1"/>
  <c r="H41" i="1" l="1"/>
  <c r="J41" i="1"/>
  <c r="K41" i="1"/>
</calcChain>
</file>

<file path=xl/sharedStrings.xml><?xml version="1.0" encoding="utf-8"?>
<sst xmlns="http://schemas.openxmlformats.org/spreadsheetml/2006/main" count="96" uniqueCount="57">
  <si>
    <t>Elder Dashboard ideas</t>
  </si>
  <si>
    <t>Completed</t>
  </si>
  <si>
    <t>Awaiting Audit</t>
  </si>
  <si>
    <t>Tab</t>
  </si>
  <si>
    <t>Audit Approved</t>
  </si>
  <si>
    <t>Submitted to Overseer</t>
  </si>
  <si>
    <t>Process tracker</t>
  </si>
  <si>
    <t>Current Month - July 2026</t>
  </si>
  <si>
    <t>Congregation</t>
  </si>
  <si>
    <t>Code</t>
  </si>
  <si>
    <t>Submitted  to Ovs</t>
  </si>
  <si>
    <t>Last Edit</t>
  </si>
  <si>
    <t>Action</t>
  </si>
  <si>
    <t>Bomont</t>
  </si>
  <si>
    <t>020700</t>
  </si>
  <si>
    <t>-</t>
  </si>
  <si>
    <t>Review</t>
  </si>
  <si>
    <t>Newclare</t>
  </si>
  <si>
    <t>026040</t>
  </si>
  <si>
    <t>Current Month - June 2026</t>
  </si>
  <si>
    <t>Members</t>
  </si>
  <si>
    <t>Officers</t>
  </si>
  <si>
    <t>Burial</t>
  </si>
  <si>
    <t>Expenses</t>
  </si>
  <si>
    <t>Cash</t>
  </si>
  <si>
    <t>Deposit/EFT</t>
  </si>
  <si>
    <t>-          Bomont</t>
  </si>
  <si>
    <t>Week 1</t>
  </si>
  <si>
    <t>Week 2</t>
  </si>
  <si>
    <t>Week 3</t>
  </si>
  <si>
    <t>Week 4</t>
  </si>
  <si>
    <t>Week 5</t>
  </si>
  <si>
    <t>x</t>
  </si>
  <si>
    <t>-        Newclare</t>
  </si>
  <si>
    <t>four week month</t>
  </si>
  <si>
    <t>Priest review</t>
  </si>
  <si>
    <t>Priestship Total</t>
  </si>
  <si>
    <t>Priestship A</t>
  </si>
  <si>
    <t>Priestshp B</t>
  </si>
  <si>
    <t>Priestship C</t>
  </si>
  <si>
    <t>Priestshp D</t>
  </si>
  <si>
    <t>Priestship E</t>
  </si>
  <si>
    <t>Priestship G</t>
  </si>
  <si>
    <t>Priestshp H</t>
  </si>
  <si>
    <t>Priestship I</t>
  </si>
  <si>
    <t>Priestshp J</t>
  </si>
  <si>
    <t>Priestship K</t>
  </si>
  <si>
    <t>Cash Risk:</t>
  </si>
  <si>
    <t>Pr J - R1,145</t>
  </si>
  <si>
    <t>Pr G - R123</t>
  </si>
  <si>
    <t>Pr D - R560</t>
  </si>
  <si>
    <t>Officer Total</t>
  </si>
  <si>
    <t>% Split</t>
  </si>
  <si>
    <t>Approval Tomorrow</t>
  </si>
  <si>
    <t>Total Cash</t>
  </si>
  <si>
    <t>Total EFT/Debit</t>
  </si>
  <si>
    <t>Eldership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</si>
</sst>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00B050"/>
      <name val="Aptos Narrow"/>
      <family val="2"/>
      <scheme val="minor"/>
    </font>
    <font>
      <b/>
      <sz val="8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8"/>
      <color rgb="FF00206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sz val="9"/>
      <color theme="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 tint="-4.9989318521683403E-2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2" tint="-0.249977111117893"/>
      <name val="Aptos Narrow"/>
      <family val="2"/>
      <scheme val="minor"/>
    </font>
    <font>
      <b/>
      <sz val="9"/>
      <color theme="2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dashDotDot">
        <color theme="2" tint="-9.9948118533890809E-2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 style="dashDotDot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9.9948118533890809E-2"/>
      </bottom>
      <diagonal/>
    </border>
    <border>
      <left/>
      <right style="thin">
        <color theme="2" tint="-0.24994659260841701"/>
      </right>
      <top style="thin">
        <color theme="2" tint="-9.9948118533890809E-2"/>
      </top>
      <bottom/>
      <diagonal/>
    </border>
    <border>
      <left style="thin">
        <color theme="2" tint="-0.24994659260841701"/>
      </left>
      <right style="dashDotDot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dashDotDot">
        <color theme="2" tint="-9.9948118533890809E-2"/>
      </right>
      <top/>
      <bottom/>
      <diagonal/>
    </border>
    <border>
      <left style="thin">
        <color theme="2" tint="-0.24994659260841701"/>
      </left>
      <right style="dashDotDot">
        <color theme="2" tint="-9.9948118533890809E-2"/>
      </right>
      <top style="thin">
        <color theme="2" tint="-9.9917600024414813E-2"/>
      </top>
      <bottom style="thin">
        <color theme="2" tint="-9.9948118533890809E-2"/>
      </bottom>
      <diagonal/>
    </border>
    <border>
      <left/>
      <right style="thin">
        <color theme="2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dashDotDot">
        <color theme="2" tint="-0.24994659260841701"/>
      </right>
      <top style="thin">
        <color theme="2" tint="-0.24994659260841701"/>
      </top>
      <bottom/>
      <diagonal/>
    </border>
    <border>
      <left/>
      <right style="double">
        <color theme="2" tint="-0.24994659260841701"/>
      </right>
      <top style="thin">
        <color theme="2" tint="-0.24994659260841701"/>
      </top>
      <bottom/>
      <diagonal/>
    </border>
    <border>
      <left style="double">
        <color theme="2" tint="-0.24994659260841701"/>
      </left>
      <right style="dashDotDot">
        <color theme="2" tint="-0.24994659260841701"/>
      </right>
      <top style="thin">
        <color theme="2" tint="-0.24994659260841701"/>
      </top>
      <bottom/>
      <diagonal/>
    </border>
    <border>
      <left style="dashDotDot">
        <color theme="2" tint="-0.24994659260841701"/>
      </left>
      <right style="dashDotDot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dashDotDot">
        <color theme="2" tint="-0.24994659260841701"/>
      </right>
      <top/>
      <bottom style="thin">
        <color theme="2" tint="-9.9948118533890809E-2"/>
      </bottom>
      <diagonal/>
    </border>
    <border>
      <left/>
      <right style="double">
        <color theme="2" tint="-0.24994659260841701"/>
      </right>
      <top/>
      <bottom/>
      <diagonal/>
    </border>
    <border>
      <left style="dashDotDot">
        <color theme="2" tint="-0.24994659260841701"/>
      </left>
      <right style="dashDotDot">
        <color theme="2" tint="-0.24994659260841701"/>
      </right>
      <top/>
      <bottom style="thin">
        <color theme="2" tint="-9.9948118533890809E-2"/>
      </bottom>
      <diagonal/>
    </border>
    <border>
      <left/>
      <right style="dashDotDot">
        <color theme="2" tint="-0.24994659260841701"/>
      </right>
      <top style="thin">
        <color theme="2" tint="-9.9948118533890809E-2"/>
      </top>
      <bottom/>
      <diagonal/>
    </border>
    <border>
      <left style="dashDotDot">
        <color theme="2" tint="-0.24994659260841701"/>
      </left>
      <right style="dashDotDot">
        <color theme="2" tint="-0.24994659260841701"/>
      </right>
      <top/>
      <bottom/>
      <diagonal/>
    </border>
    <border>
      <left/>
      <right style="dashDotDot">
        <color theme="2" tint="-0.24994659260841701"/>
      </right>
      <top/>
      <bottom/>
      <diagonal/>
    </border>
    <border>
      <left style="double">
        <color theme="2" tint="-0.24994659260841701"/>
      </left>
      <right style="dashDotDot">
        <color theme="2" tint="-0.24994659260841701"/>
      </right>
      <top/>
      <bottom/>
      <diagonal/>
    </border>
    <border>
      <left/>
      <right style="dashDotDot">
        <color theme="2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/>
      <right style="double">
        <color theme="2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 style="double">
        <color theme="2" tint="-0.24994659260841701"/>
      </left>
      <right style="dashDotDot">
        <color theme="2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 style="dashDotDot">
        <color theme="2" tint="-0.24994659260841701"/>
      </left>
      <right style="dashDotDot">
        <color theme="2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/>
      <right/>
      <top style="thin">
        <color theme="2" tint="-0.24994659260841701"/>
      </top>
      <bottom/>
      <diagonal/>
    </border>
    <border>
      <left style="dashDotDot">
        <color theme="2" tint="-0.24994659260841701"/>
      </left>
      <right style="dashDotDot">
        <color theme="2" tint="-9.9948118533890809E-2"/>
      </right>
      <top style="thin">
        <color theme="2" tint="-0.24994659260841701"/>
      </top>
      <bottom style="thin">
        <color theme="2" tint="-9.9917600024414813E-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 style="dashDotDot">
        <color theme="2" tint="-0.24994659260841701"/>
      </left>
      <right style="dashDotDot">
        <color theme="2" tint="-9.9948118533890809E-2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double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theme="2" tint="-0.24994659260841701"/>
      </left>
      <right style="dashDotDot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DotDot">
        <color theme="2" tint="-0.24994659260841701"/>
      </left>
      <right style="dashDotDot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double">
        <color theme="2" tint="-0.24994659260841701"/>
      </right>
      <top/>
      <bottom style="thin">
        <color theme="2" tint="-9.9948118533890809E-2"/>
      </bottom>
      <diagonal/>
    </border>
    <border>
      <left/>
      <right style="double">
        <color theme="2" tint="-0.24994659260841701"/>
      </right>
      <top/>
      <bottom style="thin">
        <color theme="2" tint="-0.24994659260841701"/>
      </bottom>
      <diagonal/>
    </border>
    <border>
      <left style="double">
        <color theme="2" tint="-0.24994659260841701"/>
      </left>
      <right style="thin">
        <color theme="2" tint="-9.9948118533890809E-2"/>
      </right>
      <top style="double">
        <color theme="2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double">
        <color theme="2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double">
        <color theme="2" tint="-0.24994659260841701"/>
      </right>
      <top style="double">
        <color theme="2" tint="-0.24994659260841701"/>
      </top>
      <bottom style="thin">
        <color theme="2" tint="-9.9948118533890809E-2"/>
      </bottom>
      <diagonal/>
    </border>
    <border>
      <left style="double">
        <color theme="2" tint="-0.2499465926084170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double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double">
        <color theme="2" tint="-0.24994659260841701"/>
      </left>
      <right style="thin">
        <color theme="2" tint="-9.9948118533890809E-2"/>
      </right>
      <top style="thin">
        <color theme="2" tint="-9.9948118533890809E-2"/>
      </top>
      <bottom style="double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theme="2" tint="-0.24994659260841701"/>
      </bottom>
      <diagonal/>
    </border>
    <border>
      <left style="thin">
        <color theme="2" tint="-9.9948118533890809E-2"/>
      </left>
      <right style="double">
        <color theme="2" tint="-0.24994659260841701"/>
      </right>
      <top style="thin">
        <color theme="2" tint="-9.9948118533890809E-2"/>
      </top>
      <bottom style="double">
        <color theme="2" tint="-0.24994659260841701"/>
      </bottom>
      <diagonal/>
    </border>
    <border>
      <left style="double">
        <color theme="2" tint="-0.24994659260841701"/>
      </left>
      <right style="thin">
        <color theme="2" tint="-0.24994659260841701"/>
      </right>
      <top style="double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double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theme="2" tint="-0.24994659260841701"/>
      </right>
      <top style="double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double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ouble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double">
        <color theme="2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8" fillId="0" borderId="2" xfId="0" applyFont="1" applyBorder="1" applyAlignment="1">
      <alignment horizontal="center"/>
    </xf>
    <xf numFmtId="0" fontId="8" fillId="0" borderId="2" xfId="0" quotePrefix="1" applyFont="1" applyBorder="1"/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" fontId="8" fillId="0" borderId="2" xfId="0" applyNumberFormat="1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3" xfId="0" quotePrefix="1" applyFont="1" applyBorder="1"/>
    <xf numFmtId="0" fontId="1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center"/>
    </xf>
    <xf numFmtId="44" fontId="14" fillId="0" borderId="0" xfId="0" quotePrefix="1" applyNumberFormat="1" applyFont="1"/>
    <xf numFmtId="44" fontId="14" fillId="0" borderId="14" xfId="0" applyNumberFormat="1" applyFont="1" applyBorder="1" applyAlignment="1">
      <alignment horizontal="center" vertical="center"/>
    </xf>
    <xf numFmtId="44" fontId="14" fillId="0" borderId="15" xfId="0" applyNumberFormat="1" applyFont="1" applyBorder="1" applyAlignment="1">
      <alignment horizontal="center" vertical="center"/>
    </xf>
    <xf numFmtId="44" fontId="14" fillId="0" borderId="16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44" fontId="8" fillId="0" borderId="11" xfId="0" quotePrefix="1" applyNumberFormat="1" applyFont="1" applyBorder="1"/>
    <xf numFmtId="44" fontId="8" fillId="0" borderId="17" xfId="0" applyNumberFormat="1" applyFont="1" applyBorder="1" applyAlignment="1">
      <alignment horizontal="center" vertical="center"/>
    </xf>
    <xf numFmtId="44" fontId="8" fillId="0" borderId="18" xfId="0" quotePrefix="1" applyNumberFormat="1" applyFont="1" applyBorder="1"/>
    <xf numFmtId="44" fontId="18" fillId="0" borderId="19" xfId="0" applyNumberFormat="1" applyFont="1" applyBorder="1" applyAlignment="1">
      <alignment horizontal="center" vertical="center"/>
    </xf>
    <xf numFmtId="44" fontId="8" fillId="0" borderId="10" xfId="0" applyNumberFormat="1" applyFont="1" applyBorder="1" applyAlignment="1">
      <alignment horizontal="center" vertical="center"/>
    </xf>
    <xf numFmtId="44" fontId="8" fillId="0" borderId="20" xfId="0" applyNumberFormat="1" applyFont="1" applyBorder="1"/>
    <xf numFmtId="44" fontId="8" fillId="0" borderId="10" xfId="0" applyNumberFormat="1" applyFont="1" applyBorder="1"/>
    <xf numFmtId="44" fontId="8" fillId="0" borderId="19" xfId="0" applyNumberFormat="1" applyFont="1" applyBorder="1"/>
    <xf numFmtId="164" fontId="19" fillId="0" borderId="2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64" fontId="19" fillId="0" borderId="19" xfId="0" applyNumberFormat="1" applyFont="1" applyBorder="1" applyAlignment="1">
      <alignment horizontal="center" vertical="center"/>
    </xf>
    <xf numFmtId="44" fontId="14" fillId="0" borderId="21" xfId="0" quotePrefix="1" applyNumberFormat="1" applyFont="1" applyBorder="1"/>
    <xf numFmtId="44" fontId="14" fillId="0" borderId="22" xfId="0" applyNumberFormat="1" applyFont="1" applyBorder="1" applyAlignment="1">
      <alignment horizontal="center" vertical="center"/>
    </xf>
    <xf numFmtId="44" fontId="14" fillId="0" borderId="21" xfId="0" applyNumberFormat="1" applyFont="1" applyBorder="1" applyAlignment="1">
      <alignment horizontal="center" vertical="center"/>
    </xf>
    <xf numFmtId="44" fontId="14" fillId="0" borderId="23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0" fontId="0" fillId="2" borderId="0" xfId="0" applyFill="1"/>
    <xf numFmtId="0" fontId="5" fillId="0" borderId="0" xfId="0" applyFont="1"/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44" fontId="14" fillId="0" borderId="30" xfId="0" quotePrefix="1" applyNumberFormat="1" applyFont="1" applyBorder="1"/>
    <xf numFmtId="44" fontId="14" fillId="0" borderId="31" xfId="0" applyNumberFormat="1" applyFont="1" applyBorder="1" applyAlignment="1">
      <alignment horizontal="center" vertical="center"/>
    </xf>
    <xf numFmtId="44" fontId="14" fillId="0" borderId="33" xfId="0" applyNumberFormat="1" applyFont="1" applyBorder="1" applyAlignment="1">
      <alignment horizontal="center" vertical="center"/>
    </xf>
    <xf numFmtId="44" fontId="8" fillId="0" borderId="34" xfId="0" applyNumberFormat="1" applyFont="1" applyBorder="1" applyAlignment="1">
      <alignment horizontal="center" vertical="center"/>
    </xf>
    <xf numFmtId="44" fontId="18" fillId="0" borderId="35" xfId="0" applyNumberFormat="1" applyFont="1" applyBorder="1" applyAlignment="1">
      <alignment horizontal="center" vertical="center"/>
    </xf>
    <xf numFmtId="44" fontId="8" fillId="0" borderId="36" xfId="0" applyNumberFormat="1" applyFont="1" applyBorder="1"/>
    <xf numFmtId="44" fontId="8" fillId="0" borderId="32" xfId="0" applyNumberFormat="1" applyFont="1" applyBorder="1"/>
    <xf numFmtId="44" fontId="8" fillId="0" borderId="37" xfId="0" applyNumberFormat="1" applyFont="1" applyBorder="1"/>
    <xf numFmtId="44" fontId="8" fillId="0" borderId="35" xfId="0" applyNumberFormat="1" applyFont="1" applyBorder="1"/>
    <xf numFmtId="44" fontId="14" fillId="0" borderId="38" xfId="0" applyNumberFormat="1" applyFont="1" applyBorder="1" applyAlignment="1">
      <alignment horizontal="center" vertical="center"/>
    </xf>
    <xf numFmtId="44" fontId="14" fillId="0" borderId="39" xfId="0" applyNumberFormat="1" applyFont="1" applyBorder="1" applyAlignment="1">
      <alignment horizontal="center" vertical="center"/>
    </xf>
    <xf numFmtId="44" fontId="14" fillId="0" borderId="40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44" fontId="8" fillId="0" borderId="32" xfId="0" applyNumberFormat="1" applyFont="1" applyBorder="1" applyAlignment="1">
      <alignment horizontal="center" vertical="center"/>
    </xf>
    <xf numFmtId="44" fontId="8" fillId="0" borderId="37" xfId="0" applyNumberFormat="1" applyFont="1" applyBorder="1" applyAlignment="1">
      <alignment horizontal="center" vertical="center"/>
    </xf>
    <xf numFmtId="44" fontId="8" fillId="0" borderId="35" xfId="0" applyNumberFormat="1" applyFont="1" applyBorder="1" applyAlignment="1">
      <alignment horizontal="center" vertical="center"/>
    </xf>
    <xf numFmtId="44" fontId="19" fillId="0" borderId="20" xfId="0" applyNumberFormat="1" applyFont="1" applyBorder="1" applyAlignment="1">
      <alignment horizontal="center" vertical="center"/>
    </xf>
    <xf numFmtId="44" fontId="19" fillId="0" borderId="10" xfId="0" applyNumberFormat="1" applyFont="1" applyBorder="1" applyAlignment="1">
      <alignment horizontal="center" vertical="center"/>
    </xf>
    <xf numFmtId="44" fontId="19" fillId="0" borderId="19" xfId="0" applyNumberFormat="1" applyFont="1" applyBorder="1" applyAlignment="1">
      <alignment horizontal="center" vertical="center"/>
    </xf>
    <xf numFmtId="44" fontId="8" fillId="0" borderId="20" xfId="0" applyNumberFormat="1" applyFont="1" applyBorder="1" applyAlignment="1">
      <alignment horizontal="center" vertical="center"/>
    </xf>
    <xf numFmtId="44" fontId="8" fillId="0" borderId="19" xfId="0" applyNumberFormat="1" applyFont="1" applyBorder="1" applyAlignment="1">
      <alignment horizontal="center" vertical="center"/>
    </xf>
    <xf numFmtId="9" fontId="20" fillId="0" borderId="44" xfId="1" applyFont="1" applyBorder="1" applyAlignment="1">
      <alignment horizontal="center" vertical="center"/>
    </xf>
    <xf numFmtId="9" fontId="20" fillId="0" borderId="43" xfId="1" applyFont="1" applyBorder="1" applyAlignment="1">
      <alignment horizontal="center" vertical="center"/>
    </xf>
    <xf numFmtId="9" fontId="19" fillId="0" borderId="27" xfId="1" applyFont="1" applyBorder="1" applyAlignment="1">
      <alignment horizontal="center" vertical="center"/>
    </xf>
    <xf numFmtId="9" fontId="19" fillId="0" borderId="28" xfId="1" applyFont="1" applyBorder="1" applyAlignment="1">
      <alignment horizontal="center" vertical="center"/>
    </xf>
    <xf numFmtId="44" fontId="15" fillId="7" borderId="33" xfId="0" applyNumberFormat="1" applyFont="1" applyFill="1" applyBorder="1" applyAlignment="1">
      <alignment horizontal="center" vertical="center"/>
    </xf>
    <xf numFmtId="44" fontId="15" fillId="7" borderId="41" xfId="0" applyNumberFormat="1" applyFont="1" applyFill="1" applyBorder="1" applyAlignment="1">
      <alignment horizontal="center" vertical="center"/>
    </xf>
    <xf numFmtId="9" fontId="15" fillId="8" borderId="29" xfId="1" applyFont="1" applyFill="1" applyBorder="1" applyAlignment="1">
      <alignment horizontal="center" vertical="center"/>
    </xf>
    <xf numFmtId="9" fontId="20" fillId="0" borderId="0" xfId="1" applyFont="1" applyBorder="1" applyAlignment="1">
      <alignment horizontal="center" vertical="center"/>
    </xf>
    <xf numFmtId="9" fontId="19" fillId="0" borderId="0" xfId="1" applyFont="1" applyBorder="1" applyAlignment="1">
      <alignment horizontal="center" vertical="center"/>
    </xf>
    <xf numFmtId="9" fontId="20" fillId="0" borderId="5" xfId="1" applyFont="1" applyBorder="1" applyAlignment="1">
      <alignment horizontal="center" vertical="center"/>
    </xf>
    <xf numFmtId="9" fontId="20" fillId="0" borderId="45" xfId="1" applyFont="1" applyBorder="1" applyAlignment="1">
      <alignment horizontal="center" vertical="center"/>
    </xf>
    <xf numFmtId="9" fontId="15" fillId="8" borderId="25" xfId="1" applyFont="1" applyFill="1" applyBorder="1" applyAlignment="1">
      <alignment horizontal="center" vertical="center"/>
    </xf>
    <xf numFmtId="9" fontId="19" fillId="0" borderId="46" xfId="1" applyFont="1" applyBorder="1" applyAlignment="1">
      <alignment horizontal="center" vertical="center"/>
    </xf>
    <xf numFmtId="9" fontId="19" fillId="0" borderId="47" xfId="1" applyFont="1" applyBorder="1" applyAlignment="1">
      <alignment horizontal="center" vertical="center"/>
    </xf>
    <xf numFmtId="9" fontId="15" fillId="8" borderId="48" xfId="1" applyFont="1" applyFill="1" applyBorder="1" applyAlignment="1">
      <alignment horizontal="center" vertical="center"/>
    </xf>
    <xf numFmtId="44" fontId="15" fillId="7" borderId="49" xfId="0" applyNumberFormat="1" applyFont="1" applyFill="1" applyBorder="1" applyAlignment="1">
      <alignment horizontal="center" vertical="center"/>
    </xf>
    <xf numFmtId="9" fontId="15" fillId="8" borderId="27" xfId="1" applyFont="1" applyFill="1" applyBorder="1" applyAlignment="1">
      <alignment horizontal="center" vertical="center"/>
    </xf>
    <xf numFmtId="44" fontId="15" fillId="7" borderId="39" xfId="0" applyNumberFormat="1" applyFont="1" applyFill="1" applyBorder="1" applyAlignment="1">
      <alignment horizontal="center" vertical="center"/>
    </xf>
    <xf numFmtId="44" fontId="8" fillId="0" borderId="50" xfId="0" applyNumberFormat="1" applyFont="1" applyBorder="1" applyAlignment="1">
      <alignment horizontal="center" vertical="center"/>
    </xf>
    <xf numFmtId="0" fontId="8" fillId="0" borderId="52" xfId="0" applyFont="1" applyBorder="1" applyAlignment="1">
      <alignment horizontal="center"/>
    </xf>
    <xf numFmtId="0" fontId="8" fillId="0" borderId="55" xfId="0" applyFont="1" applyBorder="1"/>
    <xf numFmtId="0" fontId="8" fillId="0" borderId="56" xfId="0" applyFont="1" applyBorder="1" applyAlignment="1">
      <alignment horizontal="center" vertical="center"/>
    </xf>
    <xf numFmtId="9" fontId="8" fillId="4" borderId="58" xfId="0" applyNumberFormat="1" applyFont="1" applyFill="1" applyBorder="1" applyAlignment="1">
      <alignment horizontal="center"/>
    </xf>
    <xf numFmtId="9" fontId="8" fillId="5" borderId="58" xfId="0" applyNumberFormat="1" applyFont="1" applyFill="1" applyBorder="1" applyAlignment="1">
      <alignment horizontal="center"/>
    </xf>
    <xf numFmtId="9" fontId="8" fillId="6" borderId="59" xfId="0" applyNumberFormat="1" applyFont="1" applyFill="1" applyBorder="1" applyAlignment="1">
      <alignment horizont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/>
    </xf>
    <xf numFmtId="44" fontId="8" fillId="0" borderId="63" xfId="0" applyNumberFormat="1" applyFont="1" applyBorder="1" applyAlignment="1">
      <alignment horizontal="center" vertical="center"/>
    </xf>
    <xf numFmtId="44" fontId="8" fillId="0" borderId="9" xfId="0" applyNumberFormat="1" applyFont="1" applyBorder="1" applyAlignment="1">
      <alignment horizontal="center" vertical="center"/>
    </xf>
    <xf numFmtId="9" fontId="8" fillId="0" borderId="64" xfId="1" applyFont="1" applyBorder="1" applyAlignment="1">
      <alignment horizontal="center" vertical="center"/>
    </xf>
    <xf numFmtId="9" fontId="8" fillId="0" borderId="65" xfId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95250</xdr:rowOff>
    </xdr:from>
    <xdr:to>
      <xdr:col>3</xdr:col>
      <xdr:colOff>533399</xdr:colOff>
      <xdr:row>10</xdr:row>
      <xdr:rowOff>123826</xdr:rowOff>
    </xdr:to>
    <xdr:sp macro="" textlink="">
      <xdr:nvSpPr>
        <xdr:cNvPr id="2" name="Teardrop 1">
          <a:extLst>
            <a:ext uri="{FF2B5EF4-FFF2-40B4-BE49-F238E27FC236}">
              <a16:creationId xmlns:a16="http://schemas.microsoft.com/office/drawing/2014/main" id="{C0BDFC48-3C71-4A7D-B6AF-50EDD40EB96A}"/>
            </a:ext>
          </a:extLst>
        </xdr:cNvPr>
        <xdr:cNvSpPr/>
      </xdr:nvSpPr>
      <xdr:spPr>
        <a:xfrm>
          <a:off x="742950" y="1104900"/>
          <a:ext cx="1704974" cy="981076"/>
        </a:xfrm>
        <a:prstGeom prst="teardrop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900"/>
            <a:t>Elder summarised view of processing done/not</a:t>
          </a:r>
          <a:r>
            <a:rPr lang="en-ZA" sz="900" baseline="0"/>
            <a:t> done - current month</a:t>
          </a:r>
          <a:endParaRPr lang="en-ZA" sz="900"/>
        </a:p>
      </xdr:txBody>
    </xdr:sp>
    <xdr:clientData/>
  </xdr:twoCellAnchor>
  <xdr:twoCellAnchor>
    <xdr:from>
      <xdr:col>0</xdr:col>
      <xdr:colOff>4029074</xdr:colOff>
      <xdr:row>17</xdr:row>
      <xdr:rowOff>85725</xdr:rowOff>
    </xdr:from>
    <xdr:to>
      <xdr:col>3</xdr:col>
      <xdr:colOff>466724</xdr:colOff>
      <xdr:row>22</xdr:row>
      <xdr:rowOff>133350</xdr:rowOff>
    </xdr:to>
    <xdr:sp macro="" textlink="">
      <xdr:nvSpPr>
        <xdr:cNvPr id="3" name="Teardrop 2">
          <a:extLst>
            <a:ext uri="{FF2B5EF4-FFF2-40B4-BE49-F238E27FC236}">
              <a16:creationId xmlns:a16="http://schemas.microsoft.com/office/drawing/2014/main" id="{CF00AA39-1A47-44D6-8F0B-07C0970968C4}"/>
            </a:ext>
          </a:extLst>
        </xdr:cNvPr>
        <xdr:cNvSpPr/>
      </xdr:nvSpPr>
      <xdr:spPr>
        <a:xfrm>
          <a:off x="695324" y="3429000"/>
          <a:ext cx="1685925" cy="1000125"/>
        </a:xfrm>
        <a:prstGeom prst="teardrop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900"/>
            <a:t>Elder summarised view  completed month pending submission to Overseer</a:t>
          </a:r>
        </a:p>
      </xdr:txBody>
    </xdr:sp>
    <xdr:clientData/>
  </xdr:twoCellAnchor>
  <xdr:twoCellAnchor editAs="oneCell">
    <xdr:from>
      <xdr:col>6</xdr:col>
      <xdr:colOff>333375</xdr:colOff>
      <xdr:row>27</xdr:row>
      <xdr:rowOff>28575</xdr:rowOff>
    </xdr:from>
    <xdr:to>
      <xdr:col>9</xdr:col>
      <xdr:colOff>810009</xdr:colOff>
      <xdr:row>30</xdr:row>
      <xdr:rowOff>28655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A1E2DB-404A-42A0-BA14-A901E9421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5276850"/>
          <a:ext cx="2753109" cy="57158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15</xdr:row>
      <xdr:rowOff>19050</xdr:rowOff>
    </xdr:from>
    <xdr:to>
      <xdr:col>12</xdr:col>
      <xdr:colOff>474855</xdr:colOff>
      <xdr:row>16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7B656D-6B4D-4D58-A8DE-0FA613C7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3900" y="2933700"/>
          <a:ext cx="970155" cy="276225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20</xdr:row>
      <xdr:rowOff>123825</xdr:rowOff>
    </xdr:from>
    <xdr:to>
      <xdr:col>12</xdr:col>
      <xdr:colOff>465330</xdr:colOff>
      <xdr:row>22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C69B0C-6880-4E00-920D-F332828D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4038600"/>
          <a:ext cx="970155" cy="276225"/>
        </a:xfrm>
        <a:prstGeom prst="rect">
          <a:avLst/>
        </a:prstGeom>
      </xdr:spPr>
    </xdr:pic>
    <xdr:clientData/>
  </xdr:twoCellAnchor>
  <xdr:twoCellAnchor>
    <xdr:from>
      <xdr:col>0</xdr:col>
      <xdr:colOff>542924</xdr:colOff>
      <xdr:row>35</xdr:row>
      <xdr:rowOff>28575</xdr:rowOff>
    </xdr:from>
    <xdr:to>
      <xdr:col>3</xdr:col>
      <xdr:colOff>314324</xdr:colOff>
      <xdr:row>40</xdr:row>
      <xdr:rowOff>76200</xdr:rowOff>
    </xdr:to>
    <xdr:sp macro="" textlink="">
      <xdr:nvSpPr>
        <xdr:cNvPr id="7" name="Teardrop 6">
          <a:extLst>
            <a:ext uri="{FF2B5EF4-FFF2-40B4-BE49-F238E27FC236}">
              <a16:creationId xmlns:a16="http://schemas.microsoft.com/office/drawing/2014/main" id="{49674B29-FCCD-4F61-B405-2A7687059C3C}"/>
            </a:ext>
          </a:extLst>
        </xdr:cNvPr>
        <xdr:cNvSpPr/>
      </xdr:nvSpPr>
      <xdr:spPr>
        <a:xfrm>
          <a:off x="542924" y="6848475"/>
          <a:ext cx="1685925" cy="1000125"/>
        </a:xfrm>
        <a:prstGeom prst="teardrop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900"/>
            <a:t>Elder summarised view  completed month pending submission to Overseer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E464-884D-47F6-BC58-C67B2F4C6B3B}">
  <dimension ref="D2:P54"/>
  <sheetViews>
    <sheetView showGridLines="0" tabSelected="1" topLeftCell="A3" workbookViewId="0">
      <selection activeCell="L3" sqref="L3"/>
    </sheetView>
  </sheetViews>
  <sheetFormatPr defaultRowHeight="15" outlineLevelRow="1" x14ac:dyDescent="0.25"/>
  <cols>
    <col min="1" max="1" width="10.42578125" customWidth="1"/>
    <col min="5" max="5" width="16.7109375" customWidth="1"/>
    <col min="6" max="6" width="9.28515625" bestFit="1" customWidth="1"/>
    <col min="7" max="7" width="10.7109375" bestFit="1" customWidth="1"/>
    <col min="8" max="9" width="11.7109375" style="1" bestFit="1" customWidth="1"/>
    <col min="10" max="11" width="13.140625" style="1" customWidth="1"/>
  </cols>
  <sheetData>
    <row r="2" spans="4:16" ht="15.75" x14ac:dyDescent="0.25">
      <c r="E2" s="122" t="s">
        <v>0</v>
      </c>
      <c r="F2" s="122"/>
      <c r="K2" s="2" t="s">
        <v>1</v>
      </c>
      <c r="L2" s="3" t="s">
        <v>2</v>
      </c>
    </row>
    <row r="3" spans="4:16" x14ac:dyDescent="0.25">
      <c r="E3" s="4" t="s">
        <v>3</v>
      </c>
      <c r="K3" s="5" t="s">
        <v>4</v>
      </c>
      <c r="L3" s="131" t="s">
        <v>5</v>
      </c>
    </row>
    <row r="4" spans="4:16" x14ac:dyDescent="0.25">
      <c r="E4" s="6" t="s">
        <v>6</v>
      </c>
      <c r="G4" s="123" t="s">
        <v>7</v>
      </c>
      <c r="H4" s="123"/>
      <c r="I4" s="123"/>
      <c r="J4" s="123"/>
      <c r="K4" s="7"/>
    </row>
    <row r="5" spans="4:16" ht="18.75" x14ac:dyDescent="0.3">
      <c r="D5" s="8">
        <v>1</v>
      </c>
      <c r="E5" s="6" t="s">
        <v>8</v>
      </c>
      <c r="F5" s="9" t="s">
        <v>9</v>
      </c>
      <c r="G5" s="9" t="s">
        <v>1</v>
      </c>
      <c r="H5" s="9" t="s">
        <v>2</v>
      </c>
      <c r="I5" s="9" t="s">
        <v>4</v>
      </c>
      <c r="J5" s="9" t="s">
        <v>10</v>
      </c>
      <c r="K5" s="10" t="s">
        <v>11</v>
      </c>
      <c r="L5" s="10" t="s">
        <v>12</v>
      </c>
      <c r="M5" s="11"/>
      <c r="P5" s="12"/>
    </row>
    <row r="6" spans="4:16" x14ac:dyDescent="0.25">
      <c r="E6" s="13" t="s">
        <v>13</v>
      </c>
      <c r="F6" s="14" t="s">
        <v>14</v>
      </c>
      <c r="G6" s="15">
        <v>1</v>
      </c>
      <c r="H6" s="16">
        <v>1</v>
      </c>
      <c r="I6" s="17" t="s">
        <v>15</v>
      </c>
      <c r="J6" s="18" t="s">
        <v>15</v>
      </c>
      <c r="K6" s="19">
        <v>46217</v>
      </c>
      <c r="L6" s="20" t="s">
        <v>16</v>
      </c>
      <c r="M6" s="1"/>
      <c r="P6" s="12"/>
    </row>
    <row r="7" spans="4:16" x14ac:dyDescent="0.25">
      <c r="E7" s="21" t="s">
        <v>17</v>
      </c>
      <c r="F7" s="22" t="s">
        <v>18</v>
      </c>
      <c r="G7" s="23">
        <v>1</v>
      </c>
      <c r="H7" s="24" t="s">
        <v>15</v>
      </c>
      <c r="I7" s="25">
        <v>1</v>
      </c>
      <c r="J7" s="26" t="s">
        <v>15</v>
      </c>
      <c r="K7" s="27">
        <v>46219</v>
      </c>
      <c r="L7" s="28" t="s">
        <v>16</v>
      </c>
    </row>
    <row r="13" spans="4:16" x14ac:dyDescent="0.25">
      <c r="E13" s="4" t="s">
        <v>3</v>
      </c>
      <c r="G13" s="124" t="s">
        <v>19</v>
      </c>
      <c r="H13" s="124"/>
      <c r="I13" s="124"/>
      <c r="J13" s="124"/>
    </row>
    <row r="14" spans="4:16" x14ac:dyDescent="0.25">
      <c r="E14" t="s">
        <v>53</v>
      </c>
      <c r="F14" s="125" t="s">
        <v>20</v>
      </c>
      <c r="G14" s="126"/>
      <c r="H14" s="127" t="s">
        <v>21</v>
      </c>
      <c r="I14" s="126"/>
      <c r="J14" s="29" t="s">
        <v>22</v>
      </c>
      <c r="K14" s="30" t="s">
        <v>23</v>
      </c>
    </row>
    <row r="15" spans="4:16" x14ac:dyDescent="0.25">
      <c r="E15" s="6" t="s">
        <v>8</v>
      </c>
      <c r="F15" s="31" t="s">
        <v>24</v>
      </c>
      <c r="G15" s="32" t="s">
        <v>25</v>
      </c>
      <c r="H15" s="33" t="s">
        <v>24</v>
      </c>
      <c r="I15" s="32" t="s">
        <v>25</v>
      </c>
      <c r="J15" s="34" t="s">
        <v>24</v>
      </c>
      <c r="K15" s="35" t="s">
        <v>24</v>
      </c>
    </row>
    <row r="16" spans="4:16" ht="18.75" x14ac:dyDescent="0.3">
      <c r="D16" s="8">
        <v>2</v>
      </c>
      <c r="E16" s="36" t="s">
        <v>26</v>
      </c>
      <c r="F16" s="37">
        <f>SUM(F17:F21)</f>
        <v>1060</v>
      </c>
      <c r="G16" s="38">
        <f t="shared" ref="G16:K16" si="0">SUM(G17:G21)</f>
        <v>8117</v>
      </c>
      <c r="H16" s="39">
        <f t="shared" si="0"/>
        <v>450</v>
      </c>
      <c r="I16" s="38">
        <f t="shared" si="0"/>
        <v>11452</v>
      </c>
      <c r="J16" s="40">
        <f t="shared" si="0"/>
        <v>285</v>
      </c>
      <c r="K16" s="38">
        <f t="shared" si="0"/>
        <v>300</v>
      </c>
    </row>
    <row r="17" spans="5:13" outlineLevel="1" x14ac:dyDescent="0.25">
      <c r="E17" s="41" t="s">
        <v>27</v>
      </c>
      <c r="F17" s="42">
        <v>250</v>
      </c>
      <c r="G17" s="43">
        <v>712</v>
      </c>
      <c r="H17" s="44">
        <v>0</v>
      </c>
      <c r="I17" s="43">
        <v>0</v>
      </c>
      <c r="J17" s="45">
        <v>0</v>
      </c>
      <c r="K17" s="46">
        <v>0</v>
      </c>
    </row>
    <row r="18" spans="5:13" outlineLevel="1" x14ac:dyDescent="0.25">
      <c r="E18" s="41" t="s">
        <v>28</v>
      </c>
      <c r="F18" s="47">
        <v>120</v>
      </c>
      <c r="G18" s="48">
        <v>0</v>
      </c>
      <c r="H18" s="47">
        <v>0</v>
      </c>
      <c r="I18" s="48">
        <v>0</v>
      </c>
      <c r="J18" s="45">
        <v>0</v>
      </c>
      <c r="K18" s="46">
        <v>125</v>
      </c>
    </row>
    <row r="19" spans="5:13" outlineLevel="1" x14ac:dyDescent="0.25">
      <c r="E19" s="41" t="s">
        <v>29</v>
      </c>
      <c r="F19" s="47">
        <v>130</v>
      </c>
      <c r="G19" s="48">
        <v>150</v>
      </c>
      <c r="H19" s="47">
        <v>0</v>
      </c>
      <c r="I19" s="48">
        <v>0</v>
      </c>
      <c r="J19" s="45">
        <v>0</v>
      </c>
      <c r="K19" s="46">
        <v>0</v>
      </c>
    </row>
    <row r="20" spans="5:13" outlineLevel="1" x14ac:dyDescent="0.25">
      <c r="E20" s="41" t="s">
        <v>30</v>
      </c>
      <c r="F20" s="47">
        <v>560</v>
      </c>
      <c r="G20" s="48">
        <v>7255</v>
      </c>
      <c r="H20" s="47">
        <v>450</v>
      </c>
      <c r="I20" s="48">
        <v>11452</v>
      </c>
      <c r="J20" s="49">
        <v>285</v>
      </c>
      <c r="K20" s="48">
        <v>175</v>
      </c>
    </row>
    <row r="21" spans="5:13" outlineLevel="1" x14ac:dyDescent="0.25">
      <c r="E21" s="41" t="s">
        <v>31</v>
      </c>
      <c r="F21" s="80" t="s">
        <v>32</v>
      </c>
      <c r="G21" s="81" t="s">
        <v>32</v>
      </c>
      <c r="H21" s="80" t="s">
        <v>32</v>
      </c>
      <c r="I21" s="81" t="s">
        <v>32</v>
      </c>
      <c r="J21" s="82" t="s">
        <v>32</v>
      </c>
      <c r="K21" s="81" t="s">
        <v>32</v>
      </c>
    </row>
    <row r="22" spans="5:13" x14ac:dyDescent="0.25">
      <c r="E22" s="36" t="s">
        <v>33</v>
      </c>
      <c r="F22" s="53">
        <f>SUM(F23:F27)</f>
        <v>1514</v>
      </c>
      <c r="G22" s="54">
        <f t="shared" ref="G22:K22" si="1">SUM(G23:G27)</f>
        <v>4727</v>
      </c>
      <c r="H22" s="55">
        <f t="shared" si="1"/>
        <v>600</v>
      </c>
      <c r="I22" s="54">
        <f t="shared" si="1"/>
        <v>8344</v>
      </c>
      <c r="J22" s="56">
        <f t="shared" si="1"/>
        <v>525</v>
      </c>
      <c r="K22" s="54">
        <f t="shared" si="1"/>
        <v>391.32</v>
      </c>
    </row>
    <row r="23" spans="5:13" x14ac:dyDescent="0.25">
      <c r="E23" s="41" t="s">
        <v>27</v>
      </c>
      <c r="F23" s="47">
        <v>123</v>
      </c>
      <c r="G23" s="48">
        <v>246</v>
      </c>
      <c r="H23" s="83">
        <v>135</v>
      </c>
      <c r="I23" s="46">
        <v>0</v>
      </c>
      <c r="J23" s="84">
        <v>105</v>
      </c>
      <c r="K23" s="46">
        <v>88</v>
      </c>
    </row>
    <row r="24" spans="5:13" x14ac:dyDescent="0.25">
      <c r="E24" s="41" t="s">
        <v>28</v>
      </c>
      <c r="F24" s="47">
        <v>246</v>
      </c>
      <c r="G24" s="48">
        <v>0</v>
      </c>
      <c r="H24" s="83">
        <v>0</v>
      </c>
      <c r="I24" s="46">
        <v>800</v>
      </c>
      <c r="J24" s="84">
        <v>0</v>
      </c>
      <c r="K24" s="46">
        <v>0</v>
      </c>
    </row>
    <row r="25" spans="5:13" x14ac:dyDescent="0.25">
      <c r="E25" s="41" t="s">
        <v>29</v>
      </c>
      <c r="F25" s="47">
        <v>0</v>
      </c>
      <c r="G25" s="48">
        <v>369</v>
      </c>
      <c r="H25" s="83">
        <v>0</v>
      </c>
      <c r="I25" s="46">
        <v>0</v>
      </c>
      <c r="J25" s="84">
        <v>0</v>
      </c>
      <c r="K25" s="46">
        <v>215</v>
      </c>
    </row>
    <row r="26" spans="5:13" x14ac:dyDescent="0.25">
      <c r="E26" s="41" t="s">
        <v>30</v>
      </c>
      <c r="F26" s="47">
        <v>1145</v>
      </c>
      <c r="G26" s="48">
        <v>4112</v>
      </c>
      <c r="H26" s="83">
        <v>465</v>
      </c>
      <c r="I26" s="46">
        <v>7544</v>
      </c>
      <c r="J26" s="84">
        <v>420</v>
      </c>
      <c r="K26" s="46">
        <v>88.32</v>
      </c>
    </row>
    <row r="27" spans="5:13" x14ac:dyDescent="0.25">
      <c r="E27" s="41" t="s">
        <v>31</v>
      </c>
      <c r="F27" s="50" t="s">
        <v>32</v>
      </c>
      <c r="G27" s="51" t="s">
        <v>32</v>
      </c>
      <c r="H27" s="50" t="s">
        <v>32</v>
      </c>
      <c r="I27" s="51" t="s">
        <v>32</v>
      </c>
      <c r="J27" s="52" t="s">
        <v>32</v>
      </c>
      <c r="K27" s="51" t="s">
        <v>32</v>
      </c>
      <c r="M27" s="57" t="s">
        <v>34</v>
      </c>
    </row>
    <row r="33" spans="4:11" x14ac:dyDescent="0.25">
      <c r="E33" s="58" t="s">
        <v>3</v>
      </c>
      <c r="F33" s="128" t="s">
        <v>20</v>
      </c>
      <c r="G33" s="129"/>
      <c r="H33" s="130"/>
      <c r="I33" s="128" t="s">
        <v>21</v>
      </c>
      <c r="J33" s="129"/>
      <c r="K33" s="130"/>
    </row>
    <row r="34" spans="4:11" x14ac:dyDescent="0.25">
      <c r="E34" s="59" t="s">
        <v>35</v>
      </c>
      <c r="F34" s="33" t="s">
        <v>24</v>
      </c>
      <c r="G34" s="60" t="s">
        <v>25</v>
      </c>
      <c r="H34" s="61" t="s">
        <v>36</v>
      </c>
      <c r="I34" s="60" t="s">
        <v>24</v>
      </c>
      <c r="J34" s="62" t="s">
        <v>25</v>
      </c>
      <c r="K34" s="62" t="s">
        <v>51</v>
      </c>
    </row>
    <row r="35" spans="4:11" ht="18.75" x14ac:dyDescent="0.3">
      <c r="D35" s="8">
        <v>3</v>
      </c>
      <c r="E35" s="36" t="s">
        <v>26</v>
      </c>
      <c r="F35" s="63">
        <f>SUM(F36:F40)</f>
        <v>1060</v>
      </c>
      <c r="G35" s="64">
        <f>SUM(G36:G40)</f>
        <v>8117</v>
      </c>
      <c r="H35" s="100">
        <f>G35+F35</f>
        <v>9177</v>
      </c>
      <c r="I35" s="64">
        <f>SUM(I36:I40)</f>
        <v>450</v>
      </c>
      <c r="J35" s="65">
        <f>SUM(J36:J40)</f>
        <v>11452</v>
      </c>
      <c r="K35" s="89">
        <f>SUM(I35:J35)</f>
        <v>11902</v>
      </c>
    </row>
    <row r="36" spans="4:11" x14ac:dyDescent="0.25">
      <c r="E36" s="41" t="s">
        <v>37</v>
      </c>
      <c r="F36" s="42">
        <v>250</v>
      </c>
      <c r="G36" s="66">
        <v>712</v>
      </c>
      <c r="H36" s="77">
        <f>SUM(F36:G36)</f>
        <v>962</v>
      </c>
      <c r="I36" s="66">
        <v>0</v>
      </c>
      <c r="J36" s="67">
        <v>0</v>
      </c>
      <c r="K36" s="67">
        <v>0</v>
      </c>
    </row>
    <row r="37" spans="4:11" x14ac:dyDescent="0.25">
      <c r="E37" s="41" t="s">
        <v>38</v>
      </c>
      <c r="F37" s="47">
        <v>120</v>
      </c>
      <c r="G37" s="68">
        <v>0</v>
      </c>
      <c r="H37" s="77">
        <f t="shared" ref="H37:H40" si="2">SUM(F37:G37)</f>
        <v>120</v>
      </c>
      <c r="I37" s="68">
        <v>0</v>
      </c>
      <c r="J37" s="67">
        <v>0</v>
      </c>
      <c r="K37" s="67">
        <v>0</v>
      </c>
    </row>
    <row r="38" spans="4:11" x14ac:dyDescent="0.25">
      <c r="E38" s="41" t="s">
        <v>39</v>
      </c>
      <c r="F38" s="47">
        <v>130</v>
      </c>
      <c r="G38" s="68">
        <v>150</v>
      </c>
      <c r="H38" s="77">
        <f t="shared" si="2"/>
        <v>280</v>
      </c>
      <c r="I38" s="68">
        <v>450</v>
      </c>
      <c r="J38" s="67">
        <v>0</v>
      </c>
      <c r="K38" s="71">
        <f>SUM(I38:J38)</f>
        <v>450</v>
      </c>
    </row>
    <row r="39" spans="4:11" x14ac:dyDescent="0.25">
      <c r="E39" s="41" t="s">
        <v>40</v>
      </c>
      <c r="F39" s="47">
        <v>560</v>
      </c>
      <c r="G39" s="68">
        <v>7255</v>
      </c>
      <c r="H39" s="77">
        <f t="shared" si="2"/>
        <v>7815</v>
      </c>
      <c r="I39" s="68">
        <v>0</v>
      </c>
      <c r="J39" s="71">
        <v>11452</v>
      </c>
      <c r="K39" s="71">
        <f>SUM(I39:J39)</f>
        <v>11452</v>
      </c>
    </row>
    <row r="40" spans="4:11" x14ac:dyDescent="0.25">
      <c r="E40" s="41" t="s">
        <v>41</v>
      </c>
      <c r="F40" s="47">
        <v>0</v>
      </c>
      <c r="G40" s="68">
        <v>0</v>
      </c>
      <c r="H40" s="77">
        <f t="shared" si="2"/>
        <v>0</v>
      </c>
      <c r="I40" s="68">
        <v>0</v>
      </c>
      <c r="J40" s="71">
        <v>0</v>
      </c>
      <c r="K40" s="71">
        <v>0</v>
      </c>
    </row>
    <row r="41" spans="4:11" x14ac:dyDescent="0.25">
      <c r="E41" s="41" t="s">
        <v>52</v>
      </c>
      <c r="F41" s="85">
        <f>F35/H35</f>
        <v>0.11550615669608805</v>
      </c>
      <c r="G41" s="86">
        <f>G35/H35</f>
        <v>0.88449384330391201</v>
      </c>
      <c r="H41" s="101">
        <f>H35/(SUM(H35,K35))</f>
        <v>0.43536220883343613</v>
      </c>
      <c r="I41" s="87">
        <f>I35/K35</f>
        <v>3.7808771635019327E-2</v>
      </c>
      <c r="J41" s="88">
        <f>J35/K35</f>
        <v>0.96219122836498072</v>
      </c>
      <c r="K41" s="91">
        <f>K35/SUM(K35,H35)</f>
        <v>0.56463779116656387</v>
      </c>
    </row>
    <row r="42" spans="4:11" x14ac:dyDescent="0.25">
      <c r="E42" s="36" t="s">
        <v>33</v>
      </c>
      <c r="F42" s="53">
        <f>SUM(F43:F47)</f>
        <v>1514</v>
      </c>
      <c r="G42" s="72">
        <f t="shared" ref="G42:J42" si="3">SUM(G43:G47)</f>
        <v>4727</v>
      </c>
      <c r="H42" s="102">
        <f>SUM(F42:G42)</f>
        <v>6241</v>
      </c>
      <c r="I42" s="73">
        <f t="shared" si="3"/>
        <v>600</v>
      </c>
      <c r="J42" s="74">
        <f t="shared" si="3"/>
        <v>8344</v>
      </c>
      <c r="K42" s="90">
        <f>SUM(I42:J42)</f>
        <v>8944</v>
      </c>
    </row>
    <row r="43" spans="4:11" x14ac:dyDescent="0.25">
      <c r="E43" s="41" t="s">
        <v>42</v>
      </c>
      <c r="F43" s="47">
        <v>123</v>
      </c>
      <c r="G43" s="68">
        <v>246</v>
      </c>
      <c r="H43" s="77">
        <f>SUM(F43:G43)</f>
        <v>369</v>
      </c>
      <c r="I43" s="77">
        <v>135</v>
      </c>
      <c r="J43" s="78">
        <v>0</v>
      </c>
      <c r="K43" s="79">
        <f>SUM(I43:J43)</f>
        <v>135</v>
      </c>
    </row>
    <row r="44" spans="4:11" x14ac:dyDescent="0.25">
      <c r="E44" s="41" t="s">
        <v>43</v>
      </c>
      <c r="F44" s="47">
        <v>246</v>
      </c>
      <c r="G44" s="68">
        <v>0</v>
      </c>
      <c r="H44" s="77">
        <f t="shared" ref="H44:H47" si="4">SUM(F44:G44)</f>
        <v>246</v>
      </c>
      <c r="I44" s="77">
        <v>0</v>
      </c>
      <c r="J44" s="78">
        <v>800</v>
      </c>
      <c r="K44" s="79">
        <f t="shared" ref="K44:K47" si="5">SUM(I44:J44)</f>
        <v>800</v>
      </c>
    </row>
    <row r="45" spans="4:11" x14ac:dyDescent="0.25">
      <c r="E45" s="41" t="s">
        <v>44</v>
      </c>
      <c r="F45" s="47">
        <v>0</v>
      </c>
      <c r="G45" s="68">
        <v>369</v>
      </c>
      <c r="H45" s="77">
        <f t="shared" si="4"/>
        <v>369</v>
      </c>
      <c r="I45" s="77">
        <v>0</v>
      </c>
      <c r="J45" s="78">
        <v>0</v>
      </c>
      <c r="K45" s="79">
        <f t="shared" si="5"/>
        <v>0</v>
      </c>
    </row>
    <row r="46" spans="4:11" x14ac:dyDescent="0.25">
      <c r="E46" s="41" t="s">
        <v>45</v>
      </c>
      <c r="F46" s="47">
        <v>1145</v>
      </c>
      <c r="G46" s="68">
        <v>4112</v>
      </c>
      <c r="H46" s="77">
        <f t="shared" si="4"/>
        <v>5257</v>
      </c>
      <c r="I46" s="77">
        <v>465</v>
      </c>
      <c r="J46" s="78">
        <v>7544</v>
      </c>
      <c r="K46" s="79">
        <f t="shared" si="5"/>
        <v>8009</v>
      </c>
    </row>
    <row r="47" spans="4:11" x14ac:dyDescent="0.25">
      <c r="E47" s="41" t="s">
        <v>46</v>
      </c>
      <c r="F47" s="47">
        <v>0</v>
      </c>
      <c r="G47" s="68">
        <v>0</v>
      </c>
      <c r="H47" s="103">
        <f t="shared" si="4"/>
        <v>0</v>
      </c>
      <c r="I47" s="69">
        <v>0</v>
      </c>
      <c r="J47" s="70">
        <v>0</v>
      </c>
      <c r="K47" s="79">
        <f t="shared" si="5"/>
        <v>0</v>
      </c>
    </row>
    <row r="48" spans="4:11" x14ac:dyDescent="0.25">
      <c r="E48" s="41" t="s">
        <v>52</v>
      </c>
      <c r="F48" s="94">
        <f>F42/H42</f>
        <v>0.24258932863323185</v>
      </c>
      <c r="G48" s="95">
        <f>G42/H42</f>
        <v>0.7574106713667681</v>
      </c>
      <c r="H48" s="96">
        <f>H42/(SUM(H42,K42))</f>
        <v>0.4109976950938426</v>
      </c>
      <c r="I48" s="97">
        <f>I42/K42</f>
        <v>6.7084078711985684E-2</v>
      </c>
      <c r="J48" s="98">
        <f>J42/K42</f>
        <v>0.93291592128801426</v>
      </c>
      <c r="K48" s="99">
        <f>K42/SUM(K42,H42)</f>
        <v>0.58900230490615735</v>
      </c>
    </row>
    <row r="49" spans="5:11" ht="15.75" thickBot="1" x14ac:dyDescent="0.3">
      <c r="E49" s="41"/>
      <c r="F49" s="92"/>
      <c r="G49" s="92"/>
      <c r="H49" s="93"/>
      <c r="I49" s="93"/>
      <c r="J49" s="93"/>
      <c r="K49" s="93"/>
    </row>
    <row r="50" spans="5:11" ht="15.75" thickTop="1" x14ac:dyDescent="0.25">
      <c r="E50" s="119" t="s">
        <v>47</v>
      </c>
      <c r="F50" s="104">
        <v>1</v>
      </c>
      <c r="G50" s="104">
        <v>2</v>
      </c>
      <c r="H50" s="113">
        <v>3</v>
      </c>
      <c r="I50" s="110" t="s">
        <v>54</v>
      </c>
      <c r="J50" s="111" t="s">
        <v>55</v>
      </c>
      <c r="K50" s="112" t="s">
        <v>56</v>
      </c>
    </row>
    <row r="51" spans="5:11" s="75" customFormat="1" ht="12" x14ac:dyDescent="0.2">
      <c r="E51" s="120"/>
      <c r="F51" s="105" t="s">
        <v>48</v>
      </c>
      <c r="G51" s="105" t="s">
        <v>50</v>
      </c>
      <c r="H51" s="106" t="s">
        <v>49</v>
      </c>
      <c r="I51" s="115">
        <f>SUM(F42,F35,I35,I42)</f>
        <v>3624</v>
      </c>
      <c r="J51" s="115">
        <f>SUM(G42,G35,J35,J42)</f>
        <v>32640</v>
      </c>
      <c r="K51" s="114">
        <f>SUM(I51:J51)</f>
        <v>36264</v>
      </c>
    </row>
    <row r="52" spans="5:11" s="75" customFormat="1" ht="12.75" thickBot="1" x14ac:dyDescent="0.25">
      <c r="E52" s="121"/>
      <c r="F52" s="107">
        <f>F46/$F$42</f>
        <v>0.75627476882430644</v>
      </c>
      <c r="G52" s="108">
        <f>F39/F35</f>
        <v>0.52830188679245282</v>
      </c>
      <c r="H52" s="109">
        <f>F36/F35</f>
        <v>0.23584905660377359</v>
      </c>
      <c r="I52" s="116">
        <f>I51/K51</f>
        <v>9.9933818663136997E-2</v>
      </c>
      <c r="J52" s="117">
        <f>SUM(J51/K51)</f>
        <v>0.900066181336863</v>
      </c>
      <c r="K52" s="118"/>
    </row>
    <row r="53" spans="5:11" s="75" customFormat="1" ht="12.75" thickTop="1" x14ac:dyDescent="0.2">
      <c r="H53" s="76"/>
      <c r="I53" s="76"/>
      <c r="J53" s="76"/>
      <c r="K53" s="76"/>
    </row>
    <row r="54" spans="5:11" s="75" customFormat="1" ht="12" x14ac:dyDescent="0.2">
      <c r="H54" s="76"/>
      <c r="I54" s="76"/>
      <c r="J54" s="76"/>
      <c r="K54" s="76"/>
    </row>
  </sheetData>
  <mergeCells count="8">
    <mergeCell ref="E50:E52"/>
    <mergeCell ref="E2:F2"/>
    <mergeCell ref="G4:J4"/>
    <mergeCell ref="G13:J13"/>
    <mergeCell ref="F14:G14"/>
    <mergeCell ref="H14:I14"/>
    <mergeCell ref="F33:H33"/>
    <mergeCell ref="I33:K33"/>
  </mergeCells>
  <conditionalFormatting sqref="E36:E37 E40">
    <cfRule type="containsText" dxfId="3" priority="3" operator="containsText" text="Priest">
      <formula>NOT(ISERROR(SEARCH("Priest",E36)))</formula>
    </cfRule>
  </conditionalFormatting>
  <conditionalFormatting sqref="E45 E47">
    <cfRule type="containsText" dxfId="2" priority="1" operator="containsText" text="Priestship">
      <formula>NOT(ISERROR(SEARCH("Priestship",E45)))</formula>
    </cfRule>
  </conditionalFormatting>
  <conditionalFormatting sqref="K36:K40">
    <cfRule type="cellIs" dxfId="1" priority="4" operator="equal">
      <formula>0</formula>
    </cfRule>
  </conditionalFormatting>
  <conditionalFormatting sqref="K45 K47">
    <cfRule type="cellIs" dxfId="0" priority="2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Jermaine Morris</dc:creator>
  <cp:lastModifiedBy>Jermaine Morris</cp:lastModifiedBy>
  <dcterms:created xsi:type="dcterms:W3CDTF">2026-07-17T15:55:45Z</dcterms:created>
  <dcterms:modified xsi:type="dcterms:W3CDTF">2026-07-17T17:04:05Z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c3ec93-a456-402f-b52c-07a6894e9375_Enabled">
    <vt:lpwstr>true</vt:lpwstr>
  </property>
  <property fmtid="{D5CDD505-2E9C-101B-9397-08002B2CF9AE}" pid="3" name="MSIP_Label_18c3ec93-a456-402f-b52c-07a6894e9375_SetDate">
    <vt:lpwstr>2026-07-17T16:23:51Z</vt:lpwstr>
  </property>
  <property fmtid="{D5CDD505-2E9C-101B-9397-08002B2CF9AE}" pid="4" name="MSIP_Label_18c3ec93-a456-402f-b52c-07a6894e9375_Method">
    <vt:lpwstr>Privileged</vt:lpwstr>
  </property>
  <property fmtid="{D5CDD505-2E9C-101B-9397-08002B2CF9AE}" pid="5" name="MSIP_Label_18c3ec93-a456-402f-b52c-07a6894e9375_Name">
    <vt:lpwstr>defa4170-0d19-0005-0002-bc88714345d2</vt:lpwstr>
  </property>
  <property fmtid="{D5CDD505-2E9C-101B-9397-08002B2CF9AE}" pid="6" name="MSIP_Label_18c3ec93-a456-402f-b52c-07a6894e9375_SiteId">
    <vt:lpwstr>bad53a93-c496-4f11-a2fe-e30a3f3a055c</vt:lpwstr>
  </property>
  <property fmtid="{D5CDD505-2E9C-101B-9397-08002B2CF9AE}" pid="7" name="MSIP_Label_18c3ec93-a456-402f-b52c-07a6894e9375_ActionId">
    <vt:lpwstr>aa25cedd-11d9-4e61-85a9-437a59ab029e</vt:lpwstr>
  </property>
  <property fmtid="{D5CDD505-2E9C-101B-9397-08002B2CF9AE}" pid="8" name="MSIP_Label_18c3ec93-a456-402f-b52c-07a6894e9375_ContentBits">
    <vt:lpwstr>0</vt:lpwstr>
  </property>
  <property fmtid="{D5CDD505-2E9C-101B-9397-08002B2CF9AE}" pid="9" name="MSIP_Label_18c3ec93-a456-402f-b52c-07a6894e9375_Tag">
    <vt:lpwstr>10, 0, 1, 1</vt:lpwstr>
  </property>
</Properties>
</file>